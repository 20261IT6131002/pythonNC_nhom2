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17fed7cc2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e3e2d2654164c34"/>
    <x:sheet xmlns:r="http://schemas.openxmlformats.org/officeDocument/2006/relationships" name="Backlog" sheetId="2" r:id="R4409446eb0af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23456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456"/>
      </x:patternFill>
    </x:fill>
    <x:fill>
      <x:patternFill patternType="solid">
        <x:fgColor rgb="FF216082"/>
      </x:patternFill>
    </x:fill>
    <x:fill>
      <x:patternFill patternType="solid">
        <x:fgColor rgb="FFE8F2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e00dc6f9b4950" /><Relationship Type="http://schemas.openxmlformats.org/officeDocument/2006/relationships/theme" Target="/xl/theme/theme1.xml" Id="Rc4263f23328a4875" /><Relationship Type="http://schemas.openxmlformats.org/officeDocument/2006/relationships/sharedStrings" Target="/xl/sharedStrings.xml" Id="R41570488298543ad" /><Relationship Type="http://schemas.openxmlformats.org/officeDocument/2006/relationships/worksheet" Target="/xl/worksheets/sheet1.xml" Id="R1e3e2d2654164c34" /><Relationship Type="http://schemas.openxmlformats.org/officeDocument/2006/relationships/worksheet" Target="/xl/worksheets/sheet2.xml" Id="R4409446eb0af441d" /></Relationships>
</file>

<file path=xl/tables/table1.xml><?xml version="1.0" encoding="utf-8"?>
<x:table xmlns:x="http://schemas.openxmlformats.org/spreadsheetml/2006/main" id="1" name="TaskBacklogTable" displayName="TaskBacklogTable" ref="A1:K59" headerRowCount="1" totalsRowCount="0" totalsRowShown="0">
  <x:tableColumns count="11">
    <x:tableColumn id="1" name="Task ID"/>
    <x:tableColumn id="2" name="Week"/>
    <x:tableColumn id="3" name="Owner"/>
    <x:tableColumn id="4" name="Epic"/>
    <x:tableColumn id="5" name="Requirement"/>
    <x:tableColumn id="6" name="Task"/>
    <x:tableColumn id="7" name="Hours"/>
    <x:tableColumn id="8" name="Depends On"/>
    <x:tableColumn id="9" name="Priority"/>
    <x:tableColumn id="10" name="Acceptanc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f7e01bbcf649f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12" t="str">
        <x:v>NOTE APP — TEAM 5 | DELIVERY OVERVIEW</x:v>
      </x:c>
      <x:c r="B1" s="12"/>
      <x:c r="C1" s="12"/>
      <x:c r="D1" s="12"/>
      <x:c r="E1" s="12"/>
      <x:c r="F1" s="12"/>
      <x:c r="G1" s="12"/>
      <x:c r="H1" s="12"/>
    </x:row>
    <x:row r="2" ht="25" customHeight="1">
      <x:c r="A2" s="12"/>
      <x:c r="B2" s="12"/>
      <x:c r="C2" s="12"/>
      <x:c r="D2" s="12"/>
      <x:c r="E2" s="12"/>
      <x:c r="F2" s="12"/>
      <x:c r="G2" s="12"/>
      <x:c r="H2" s="12"/>
    </x:row>
    <x:row r="4">
      <x:c r="A4" t="str">
        <x:v>Planning horizon</x:v>
      </x:c>
      <x:c r="B4" t="str">
        <x:v>9 weeks</x:v>
      </x:c>
      <x:c r="D4" t="str">
        <x:v>Total backlog hours</x:v>
      </x:c>
      <x:c r="E4" t="n">
        <x:f>SUM(Backlog!G2:G59)</x:f>
        <x:v>571</x:v>
      </x:c>
    </x:row>
    <x:row r="5">
      <x:c r="A5" t="str">
        <x:v>Team size</x:v>
      </x:c>
      <x:c r="B5" t="n">
        <x:v>5</x:v>
      </x:c>
      <x:c r="D5" t="str">
        <x:v>Planning buffer (h)</x:v>
      </x:c>
      <x:c r="E5" t="n">
        <x:f>B7-E4</x:f>
        <x:v>149</x:v>
      </x:c>
    </x:row>
    <x:row r="6">
      <x:c r="A6" t="str">
        <x:v>Hours per member per week</x:v>
      </x:c>
      <x:c r="B6" t="n">
        <x:v>16</x:v>
      </x:c>
      <x:c r="D6" t="str">
        <x:v>Utilization %</x:v>
      </x:c>
      <x:c r="E6" s="14" t="n">
        <x:f>E4/B7</x:f>
        <x:v>0.7930555555555555</x:v>
      </x:c>
    </x:row>
    <x:row r="7">
      <x:c r="A7" t="str">
        <x:v>Total capacity (h)</x:v>
      </x:c>
      <x:c r="B7" t="n">
        <x:f>B5*B6*9</x:f>
        <x:v>720</x:v>
      </x:c>
      <x:c r="D7" t="str">
        <x:v>Tasks</x:v>
      </x:c>
      <x:c r="E7" t="n">
        <x:f>COUNTA(Backlog!A2:A59)</x:f>
        <x:v>58</x:v>
      </x:c>
    </x:row>
    <x:row r="10">
      <x:c r="A10" s="17" t="str">
        <x:v>Member</x:v>
      </x:c>
      <x:c r="B10" s="17" t="str">
        <x:v>Planned Hours</x:v>
      </x:c>
      <x:c r="C10" s="17" t="str">
        <x:v>Capacity Hours</x:v>
      </x:c>
      <x:c r="D10" s="17" t="str">
        <x:v>Slack Hours</x:v>
      </x:c>
      <x:c r="F10" s="17" t="str">
        <x:v>Week</x:v>
      </x:c>
      <x:c r="G10" s="17" t="str">
        <x:v>Planned Hours</x:v>
      </x:c>
      <x:c r="H10" s="17" t="str">
        <x:v>Capacity Hours</x:v>
      </x:c>
    </x:row>
    <x:row r="11">
      <x:c r="A11" t="str">
        <x:v>M1</x:v>
      </x:c>
      <x:c r="B11" t="n">
        <x:f>SUMIF(Backlog!C$2:C$59,A11,Backlog!G$2:G$59)</x:f>
        <x:v>84</x:v>
      </x:c>
      <x:c r="C11" t="n">
        <x:f>$B$6*9</x:f>
        <x:v>144</x:v>
      </x:c>
      <x:c r="D11" t="n">
        <x:f>C11-B11</x:f>
        <x:v>60</x:v>
      </x:c>
      <x:c r="F11" t="n">
        <x:v>1</x:v>
      </x:c>
      <x:c r="G11" t="n">
        <x:f>SUMIF(Backlog!B$2:B$59,F11,Backlog!G$2:G$59)</x:f>
        <x:v>88</x:v>
      </x:c>
      <x:c r="H11" t="n">
        <x:f>$B$5*$B$6</x:f>
        <x:v>80</x:v>
      </x:c>
    </x:row>
    <x:row r="12">
      <x:c r="A12" t="str">
        <x:v>M2</x:v>
      </x:c>
      <x:c r="B12" t="n">
        <x:f>SUMIF(Backlog!C$2:C$59,A12,Backlog!G$2:G$59)</x:f>
        <x:v>117</x:v>
      </x:c>
      <x:c r="C12" t="n">
        <x:f>$B$6*9</x:f>
        <x:v>144</x:v>
      </x:c>
      <x:c r="D12" t="n">
        <x:f>C12-B12</x:f>
        <x:v>27</x:v>
      </x:c>
      <x:c r="F12" t="n">
        <x:v>2</x:v>
      </x:c>
      <x:c r="G12" t="n">
        <x:f>SUMIF(Backlog!B$2:B$59,F12,Backlog!G$2:G$59)</x:f>
        <x:v>86</x:v>
      </x:c>
      <x:c r="H12" t="n">
        <x:f>$B$5*$B$6</x:f>
        <x:v>80</x:v>
      </x:c>
    </x:row>
    <x:row r="13">
      <x:c r="A13" t="str">
        <x:v>M3</x:v>
      </x:c>
      <x:c r="B13" t="n">
        <x:f>SUMIF(Backlog!C$2:C$59,A13,Backlog!G$2:G$59)</x:f>
        <x:v>120</x:v>
      </x:c>
      <x:c r="C13" t="n">
        <x:f>$B$6*9</x:f>
        <x:v>144</x:v>
      </x:c>
      <x:c r="D13" t="n">
        <x:f>C13-B13</x:f>
        <x:v>24</x:v>
      </x:c>
      <x:c r="F13" t="n">
        <x:v>3</x:v>
      </x:c>
      <x:c r="G13" t="n">
        <x:f>SUMIF(Backlog!B$2:B$59,F13,Backlog!G$2:G$59)</x:f>
        <x:v>86</x:v>
      </x:c>
      <x:c r="H13" t="n">
        <x:f>$B$5*$B$6</x:f>
        <x:v>80</x:v>
      </x:c>
    </x:row>
    <x:row r="14">
      <x:c r="A14" t="str">
        <x:v>M4</x:v>
      </x:c>
      <x:c r="B14" t="n">
        <x:f>SUMIF(Backlog!C$2:C$59,A14,Backlog!G$2:G$59)</x:f>
        <x:v>125</x:v>
      </x:c>
      <x:c r="C14" t="n">
        <x:f>$B$6*9</x:f>
        <x:v>144</x:v>
      </x:c>
      <x:c r="D14" t="n">
        <x:f>C14-B14</x:f>
        <x:v>19</x:v>
      </x:c>
      <x:c r="F14" t="n">
        <x:v>4</x:v>
      </x:c>
      <x:c r="G14" t="n">
        <x:f>SUMIF(Backlog!B$2:B$59,F14,Backlog!G$2:G$59)</x:f>
        <x:v>72</x:v>
      </x:c>
      <x:c r="H14" t="n">
        <x:f>$B$5*$B$6</x:f>
        <x:v>80</x:v>
      </x:c>
    </x:row>
    <x:row r="15">
      <x:c r="A15" t="str">
        <x:v>M5</x:v>
      </x:c>
      <x:c r="B15" t="n">
        <x:f>SUMIF(Backlog!C$2:C$59,A15,Backlog!G$2:G$59)</x:f>
        <x:v>125</x:v>
      </x:c>
      <x:c r="C15" t="n">
        <x:f>$B$6*9</x:f>
        <x:v>144</x:v>
      </x:c>
      <x:c r="D15" t="n">
        <x:f>C15-B15</x:f>
        <x:v>19</x:v>
      </x:c>
      <x:c r="F15" t="n">
        <x:v>5</x:v>
      </x:c>
      <x:c r="G15" t="n">
        <x:f>SUMIF(Backlog!B$2:B$59,F15,Backlog!G$2:G$59)</x:f>
        <x:v>88</x:v>
      </x:c>
      <x:c r="H15" t="n">
        <x:f>$B$5*$B$6</x:f>
        <x:v>80</x:v>
      </x:c>
    </x:row>
    <x:row r="16">
      <x:c r="F16" t="n">
        <x:v>6</x:v>
      </x:c>
      <x:c r="G16" t="n">
        <x:f>SUMIF(Backlog!B$2:B$59,F16,Backlog!G$2:G$59)</x:f>
        <x:v>47</x:v>
      </x:c>
      <x:c r="H16" t="n">
        <x:f>$B$5*$B$6</x:f>
        <x:v>80</x:v>
      </x:c>
    </x:row>
    <x:row r="17">
      <x:c r="F17" t="n">
        <x:v>7</x:v>
      </x:c>
      <x:c r="G17" t="n">
        <x:f>SUMIF(Backlog!B$2:B$59,F17,Backlog!G$2:G$59)</x:f>
        <x:v>40</x:v>
      </x:c>
      <x:c r="H17" t="n">
        <x:f>$B$5*$B$6</x:f>
        <x:v>80</x:v>
      </x:c>
    </x:row>
    <x:row r="18">
      <x:c r="F18" t="n">
        <x:v>8</x:v>
      </x:c>
      <x:c r="G18" t="n">
        <x:f>SUMIF(Backlog!B$2:B$59,F18,Backlog!G$2:G$59)</x:f>
        <x:v>41</x:v>
      </x:c>
      <x:c r="H18" t="n">
        <x:f>$B$5*$B$6</x:f>
        <x:v>80</x:v>
      </x:c>
    </x:row>
    <x:row r="19">
      <x:c r="F19" t="n">
        <x:v>9</x:v>
      </x:c>
      <x:c r="G19" t="n">
        <x:f>SUMIF(Backlog!B$2:B$59,F19,Backlog!G$2:G$59)</x:f>
        <x:v>23</x:v>
      </x:c>
      <x:c r="H19" t="n">
        <x:f>$B$5*$B$6</x:f>
        <x:v>80</x:v>
      </x:c>
    </x:row>
    <x:row r="21">
      <x:c r="A21" s="21" t="str">
        <x:v>Status note: estimates are provisional. Update Status and Hours before each sprint planning.</x:v>
      </x:c>
      <x:c r="B21" s="21"/>
      <x:c r="C21" s="21"/>
      <x:c r="D21" s="21"/>
      <x:c r="E21" s="21"/>
      <x:c r="F21" s="21"/>
      <x:c r="G21" s="21"/>
      <x:c r="H21" s="21"/>
    </x:row>
    <x:row r="22">
      <x:c r="A22" s="21"/>
      <x:c r="B22" s="21"/>
      <x:c r="C22" s="21"/>
      <x:c r="D22" s="21"/>
      <x:c r="E22" s="21"/>
      <x:c r="F22" s="21"/>
      <x:c r="G22" s="21"/>
      <x:c r="H22" s="21"/>
    </x:row>
  </x:sheetData>
  <x:mergeCells>
    <x:mergeCell ref="A1:H2"/>
    <x:mergeCell ref="A21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  <x:col min="7" max="7" width="10" hidden="0" customWidth="1"/>
    <x:col min="8" max="8" width="18" hidden="0" customWidth="1"/>
    <x:col min="9" max="9" width="18" hidden="0" customWidth="1"/>
    <x:col min="10" max="10" width="44" hidden="0" customWidth="1"/>
    <x:col min="11" max="11" width="18" hidden="0" customWidth="1"/>
  </x:cols>
  <x:sheetData>
    <x:row r="1" ht="32" customHeight="1">
      <x:c r="A1" s="4" t="str">
        <x:v>Task ID</x:v>
      </x:c>
      <x:c r="B1" s="4" t="str">
        <x:v>Week</x:v>
      </x:c>
      <x:c r="C1" s="4" t="str">
        <x:v>Owner</x:v>
      </x:c>
      <x:c r="D1" s="4" t="str">
        <x:v>Epic</x:v>
      </x:c>
      <x:c r="E1" s="4" t="str">
        <x:v>Requirement</x:v>
      </x:c>
      <x:c r="F1" s="8" t="str">
        <x:v>Task</x:v>
      </x:c>
      <x:c r="G1" s="4" t="str">
        <x:v>Hours</x:v>
      </x:c>
      <x:c r="H1" s="4" t="str">
        <x:v>Depends On</x:v>
      </x:c>
      <x:c r="I1" s="4" t="str">
        <x:v>Priority</x:v>
      </x:c>
      <x:c r="J1" s="8" t="str">
        <x:v>Acceptance</x:v>
      </x:c>
      <x:c r="K1" s="4" t="str">
        <x:v>Status</x:v>
      </x:c>
    </x:row>
    <x:row r="2" ht="26" customHeight="1">
      <x:c r="A2" t="str">
        <x:v>T001</x:v>
      </x:c>
      <x:c r="B2" t="n">
        <x:v>1</x:v>
      </x:c>
      <x:c r="C2" t="str">
        <x:v>M1</x:v>
      </x:c>
      <x:c r="D2" t="str">
        <x:v>PM</x:v>
      </x:c>
      <x:c r="E2" t="str">
        <x:v>DEC-01..14</x:v>
      </x:c>
      <x:c r="F2" s="9" t="str">
        <x:v>Kickoff và chốt decision log</x:v>
      </x:c>
      <x:c r="G2" t="n">
        <x:v>10</x:v>
      </x:c>
      <x:c r="H2" t="str"/>
      <x:c r="I2" t="str">
        <x:v>P0</x:v>
      </x:c>
      <x:c r="J2" s="9" t="str">
        <x:v>Decision statuses có approver</x:v>
      </x:c>
      <x:c r="K2" t="str">
        <x:v>Not Started</x:v>
      </x:c>
    </x:row>
    <x:row r="3" ht="26" customHeight="1">
      <x:c r="A3" t="str">
        <x:v>T002</x:v>
      </x:c>
      <x:c r="B3" t="n">
        <x:v>1</x:v>
      </x:c>
      <x:c r="C3" t="str">
        <x:v>M1</x:v>
      </x:c>
      <x:c r="D3" t="str">
        <x:v>ARCH</x:v>
      </x:c>
      <x:c r="E3" t="str">
        <x:v>ADR-001</x:v>
      </x:c>
      <x:c r="F3" s="9" t="str">
        <x:v>Chốt module boundaries và dependency rules</x:v>
      </x:c>
      <x:c r="G3" t="n">
        <x:v>8</x:v>
      </x:c>
      <x:c r="H3" t="str">
        <x:v>T001</x:v>
      </x:c>
      <x:c r="I3" t="str">
        <x:v>P0</x:v>
      </x:c>
      <x:c r="J3" s="9" t="str">
        <x:v>ADR và import gate spec</x:v>
      </x:c>
      <x:c r="K3" t="str">
        <x:v>Not Started</x:v>
      </x:c>
    </x:row>
    <x:row r="4" ht="26" customHeight="1">
      <x:c r="A4" t="str">
        <x:v>T003</x:v>
      </x:c>
      <x:c r="B4" t="n">
        <x:v>1</x:v>
      </x:c>
      <x:c r="C4" t="str">
        <x:v>M2</x:v>
      </x:c>
      <x:c r="D4" t="str">
        <x:v>UI</x:v>
      </x:c>
      <x:c r="E4" t="str">
        <x:v>CST-03</x:v>
      </x:c>
      <x:c r="F4" s="9" t="str">
        <x:v>Prototype three-pane và view states</x:v>
      </x:c>
      <x:c r="G4" t="n">
        <x:v>11</x:v>
      </x:c>
      <x:c r="H4" t="str">
        <x:v>T001</x:v>
      </x:c>
      <x:c r="I4" t="str">
        <x:v>P0</x:v>
      </x:c>
      <x:c r="J4" s="9" t="str">
        <x:v>UX flow và demo</x:v>
      </x:c>
      <x:c r="K4" t="str">
        <x:v>Not Started</x:v>
      </x:c>
    </x:row>
    <x:row r="5" ht="26" customHeight="1">
      <x:c r="A5" t="str">
        <x:v>T004</x:v>
      </x:c>
      <x:c r="B5" t="n">
        <x:v>1</x:v>
      </x:c>
      <x:c r="C5" t="str">
        <x:v>M2</x:v>
      </x:c>
      <x:c r="D5" t="str">
        <x:v>UI</x:v>
      </x:c>
      <x:c r="E5" t="str">
        <x:v>CST-03</x:v>
      </x:c>
      <x:c r="F5" s="9" t="str">
        <x:v>UI event pump queue main thread POC</x:v>
      </x:c>
      <x:c r="G5" t="n">
        <x:v>7</x:v>
      </x:c>
      <x:c r="H5" t="str">
        <x:v>T002</x:v>
      </x:c>
      <x:c r="I5" t="str">
        <x:v>P0</x:v>
      </x:c>
      <x:c r="J5" s="9" t="str">
        <x:v>No Tk call from worker</x:v>
      </x:c>
      <x:c r="K5" t="str">
        <x:v>Not Started</x:v>
      </x:c>
    </x:row>
    <x:row r="6" ht="26" customHeight="1">
      <x:c r="A6" t="str">
        <x:v>T005</x:v>
      </x:c>
      <x:c r="B6" t="n">
        <x:v>1</x:v>
      </x:c>
      <x:c r="C6" t="str">
        <x:v>M3</x:v>
      </x:c>
      <x:c r="D6" t="str">
        <x:v>CORE</x:v>
      </x:c>
      <x:c r="E6" t="str">
        <x:v>FR-01,02</x:v>
      </x:c>
      <x:c r="F6" s="9" t="str">
        <x:v>Domain entities validations và value objects</x:v>
      </x:c>
      <x:c r="G6" t="n">
        <x:v>12</x:v>
      </x:c>
      <x:c r="H6" t="str">
        <x:v>T002</x:v>
      </x:c>
      <x:c r="I6" t="str">
        <x:v>P0</x:v>
      </x:c>
      <x:c r="J6" s="9" t="str">
        <x:v>Unit positive negative</x:v>
      </x:c>
      <x:c r="K6" t="str">
        <x:v>Not Started</x:v>
      </x:c>
    </x:row>
    <x:row r="7" ht="26" customHeight="1">
      <x:c r="A7" t="str">
        <x:v>T006</x:v>
      </x:c>
      <x:c r="B7" t="n">
        <x:v>1</x:v>
      </x:c>
      <x:c r="C7" t="str">
        <x:v>M3</x:v>
      </x:c>
      <x:c r="D7" t="str">
        <x:v>CORE</x:v>
      </x:c>
      <x:c r="E7" t="str">
        <x:v>ARCH</x:v>
      </x:c>
      <x:c r="F7" s="9" t="str">
        <x:v>Ports DTOs fakes initial contract</x:v>
      </x:c>
      <x:c r="G7" t="n">
        <x:v>7</x:v>
      </x:c>
      <x:c r="H7" t="str">
        <x:v>T002</x:v>
      </x:c>
      <x:c r="I7" t="str">
        <x:v>P0</x:v>
      </x:c>
      <x:c r="J7" s="9" t="str">
        <x:v>No infrastructure imports</x:v>
      </x:c>
      <x:c r="K7" t="str">
        <x:v>Not Started</x:v>
      </x:c>
    </x:row>
    <x:row r="8" ht="26" customHeight="1">
      <x:c r="A8" t="str">
        <x:v>T007</x:v>
      </x:c>
      <x:c r="B8" t="n">
        <x:v>1</x:v>
      </x:c>
      <x:c r="C8" t="str">
        <x:v>M4</x:v>
      </x:c>
      <x:c r="D8" t="str">
        <x:v>DATA</x:v>
      </x:c>
      <x:c r="E8" t="str">
        <x:v>CST-04</x:v>
      </x:c>
      <x:c r="F8" s="9" t="str">
        <x:v>Mongo dev compose and schema bootstrap</x:v>
      </x:c>
      <x:c r="G8" t="n">
        <x:v>10</x:v>
      </x:c>
      <x:c r="H8" t="str">
        <x:v>T002</x:v>
      </x:c>
      <x:c r="I8" t="str">
        <x:v>P0</x:v>
      </x:c>
      <x:c r="J8" s="9" t="str">
        <x:v>Local start repeatable</x:v>
      </x:c>
      <x:c r="K8" t="str">
        <x:v>Not Started</x:v>
      </x:c>
    </x:row>
    <x:row r="9" ht="26" customHeight="1">
      <x:c r="A9" t="str">
        <x:v>T008</x:v>
      </x:c>
      <x:c r="B9" t="n">
        <x:v>1</x:v>
      </x:c>
      <x:c r="C9" t="str">
        <x:v>M4</x:v>
      </x:c>
      <x:c r="D9" t="str">
        <x:v>DATA</x:v>
      </x:c>
      <x:c r="E9" t="str">
        <x:v>FR-08</x:v>
      </x:c>
      <x:c r="F9" s="9" t="str">
        <x:v>GridFS feasibility spike &amp; limits</x:v>
      </x:c>
      <x:c r="G9" t="n">
        <x:v>5</x:v>
      </x:c>
      <x:c r="H9" t="str">
        <x:v>T007</x:v>
      </x:c>
      <x:c r="I9" t="str">
        <x:v>P0</x:v>
      </x:c>
      <x:c r="J9" s="9" t="str">
        <x:v>1MiB boundary demonstrated</x:v>
      </x:c>
      <x:c r="K9" t="str">
        <x:v>Not Started</x:v>
      </x:c>
    </x:row>
    <x:row r="10" ht="26" customHeight="1">
      <x:c r="A10" t="str">
        <x:v>T009</x:v>
      </x:c>
      <x:c r="B10" t="n">
        <x:v>1</x:v>
      </x:c>
      <x:c r="C10" t="str">
        <x:v>M5</x:v>
      </x:c>
      <x:c r="D10" t="str">
        <x:v>QA</x:v>
      </x:c>
      <x:c r="E10" t="str">
        <x:v>RTM</x:v>
      </x:c>
      <x:c r="F10" s="9" t="str">
        <x:v>Test harness lint architecture gate CI</x:v>
      </x:c>
      <x:c r="G10" t="n">
        <x:v>12</x:v>
      </x:c>
      <x:c r="H10" t="str">
        <x:v>T002</x:v>
      </x:c>
      <x:c r="I10" t="str">
        <x:v>P0</x:v>
      </x:c>
      <x:c r="J10" s="9" t="str">
        <x:v>CI runs pytest and ruff</x:v>
      </x:c>
      <x:c r="K10" t="str">
        <x:v>Not Started</x:v>
      </x:c>
    </x:row>
    <x:row r="11" ht="26" customHeight="1">
      <x:c r="A11" t="str">
        <x:v>T010</x:v>
      </x:c>
      <x:c r="B11" t="n">
        <x:v>1</x:v>
      </x:c>
      <x:c r="C11" t="str">
        <x:v>M5</x:v>
      </x:c>
      <x:c r="D11" t="str">
        <x:v>QA</x:v>
      </x:c>
      <x:c r="E11" t="str">
        <x:v>NFR-PERF-02</x:v>
      </x:c>
      <x:c r="F11" s="9" t="str">
        <x:v>Deterministic fixture generator 10k notes</x:v>
      </x:c>
      <x:c r="G11" t="n">
        <x:v>6</x:v>
      </x:c>
      <x:c r="H11" t="str">
        <x:v>T007</x:v>
      </x:c>
      <x:c r="I11" t="str">
        <x:v>P1</x:v>
      </x:c>
      <x:c r="J11" s="9" t="str">
        <x:v>Fixture seeded/repeatable</x:v>
      </x:c>
      <x:c r="K11" t="str">
        <x:v>Not Started</x:v>
      </x:c>
    </x:row>
    <x:row r="12" ht="26" customHeight="1">
      <x:c r="A12" t="str">
        <x:v>T011</x:v>
      </x:c>
      <x:c r="B12" t="n">
        <x:v>2</x:v>
      </x:c>
      <x:c r="C12" t="str">
        <x:v>M1</x:v>
      </x:c>
      <x:c r="D12" t="str">
        <x:v>PM</x:v>
      </x:c>
      <x:c r="E12" t="str">
        <x:v>SRS</x:v>
      </x:c>
      <x:c r="F12" s="9" t="str">
        <x:v>Sign off baseline and UI/API contracts</x:v>
      </x:c>
      <x:c r="G12" t="n">
        <x:v>7</x:v>
      </x:c>
      <x:c r="H12" t="str">
        <x:v>T001,T002</x:v>
      </x:c>
      <x:c r="I12" t="str">
        <x:v>P0</x:v>
      </x:c>
      <x:c r="J12" s="9" t="str">
        <x:v>CR policy and baseline approved</x:v>
      </x:c>
      <x:c r="K12" t="str">
        <x:v>Not Started</x:v>
      </x:c>
    </x:row>
    <x:row r="13" ht="26" customHeight="1">
      <x:c r="A13" t="str">
        <x:v>T012</x:v>
      </x:c>
      <x:c r="B13" t="n">
        <x:v>2</x:v>
      </x:c>
      <x:c r="C13" t="str">
        <x:v>M2</x:v>
      </x:c>
      <x:c r="D13" t="str">
        <x:v>UI</x:v>
      </x:c>
      <x:c r="E13" t="str">
        <x:v>FR-01,02</x:v>
      </x:c>
      <x:c r="F13" s="9" t="str">
        <x:v>Editor form and dirty saving saved states</x:v>
      </x:c>
      <x:c r="G13" t="n">
        <x:v>13</x:v>
      </x:c>
      <x:c r="H13" t="str">
        <x:v>T003,T006</x:v>
      </x:c>
      <x:c r="I13" t="str">
        <x:v>P0</x:v>
      </x:c>
      <x:c r="J13" s="9" t="str">
        <x:v>Save actions and UI state demo</x:v>
      </x:c>
      <x:c r="K13" t="str">
        <x:v>Not Started</x:v>
      </x:c>
    </x:row>
    <x:row r="14" ht="26" customHeight="1">
      <x:c r="A14" t="str">
        <x:v>T013</x:v>
      </x:c>
      <x:c r="B14" t="n">
        <x:v>2</x:v>
      </x:c>
      <x:c r="C14" t="str">
        <x:v>M2</x:v>
      </x:c>
      <x:c r="D14" t="str">
        <x:v>UI</x:v>
      </x:c>
      <x:c r="E14" t="str">
        <x:v>FR-04,05</x:v>
      </x:c>
      <x:c r="F14" s="9" t="str">
        <x:v>Sidebar category and priority editor</x:v>
      </x:c>
      <x:c r="G14" t="n">
        <x:v>7</x:v>
      </x:c>
      <x:c r="H14" t="str">
        <x:v>T012</x:v>
      </x:c>
      <x:c r="I14" t="str">
        <x:v>P0</x:v>
      </x:c>
      <x:c r="J14" s="9" t="str">
        <x:v>Category selection working</x:v>
      </x:c>
      <x:c r="K14" t="str">
        <x:v>Not Started</x:v>
      </x:c>
    </x:row>
    <x:row r="15" ht="26" customHeight="1">
      <x:c r="A15" t="str">
        <x:v>T014</x:v>
      </x:c>
      <x:c r="B15" t="n">
        <x:v>2</x:v>
      </x:c>
      <x:c r="C15" t="str">
        <x:v>M3</x:v>
      </x:c>
      <x:c r="D15" t="str">
        <x:v>CORE</x:v>
      </x:c>
      <x:c r="E15" t="str">
        <x:v>FR-01,02</x:v>
      </x:c>
      <x:c r="F15" s="9" t="str">
        <x:v>CreateNote UpdateNote and version check</x:v>
      </x:c>
      <x:c r="G15" t="n">
        <x:v>13</x:v>
      </x:c>
      <x:c r="H15" t="str">
        <x:v>T005,T006</x:v>
      </x:c>
      <x:c r="I15" t="str">
        <x:v>P0</x:v>
      </x:c>
      <x:c r="J15" s="9" t="str">
        <x:v>Unit tests save and conflict</x:v>
      </x:c>
      <x:c r="K15" t="str">
        <x:v>Not Started</x:v>
      </x:c>
    </x:row>
    <x:row r="16" ht="26" customHeight="1">
      <x:c r="A16" t="str">
        <x:v>T015</x:v>
      </x:c>
      <x:c r="B16" t="n">
        <x:v>2</x:v>
      </x:c>
      <x:c r="C16" t="str">
        <x:v>M3</x:v>
      </x:c>
      <x:c r="D16" t="str">
        <x:v>CORE</x:v>
      </x:c>
      <x:c r="E16" t="str">
        <x:v>FR-04,05</x:v>
      </x:c>
      <x:c r="F16" s="9" t="str">
        <x:v>Categories and priority use cases</x:v>
      </x:c>
      <x:c r="G16" t="n">
        <x:v>7</x:v>
      </x:c>
      <x:c r="H16" t="str">
        <x:v>T006</x:v>
      </x:c>
      <x:c r="I16" t="str">
        <x:v>P0</x:v>
      </x:c>
      <x:c r="J16" s="9" t="str">
        <x:v>Validation and uniqueness contract</x:v>
      </x:c>
      <x:c r="K16" t="str">
        <x:v>Not Started</x:v>
      </x:c>
    </x:row>
    <x:row r="17" ht="26" customHeight="1">
      <x:c r="A17" t="str">
        <x:v>T016</x:v>
      </x:c>
      <x:c r="B17" t="n">
        <x:v>2</x:v>
      </x:c>
      <x:c r="C17" t="str">
        <x:v>M4</x:v>
      </x:c>
      <x:c r="D17" t="str">
        <x:v>DATA</x:v>
      </x:c>
      <x:c r="E17" t="str">
        <x:v>FR-01,02</x:v>
      </x:c>
      <x:c r="F17" s="9" t="str">
        <x:v>Mongo notes categories repositories</x:v>
      </x:c>
      <x:c r="G17" t="n">
        <x:v>14</x:v>
      </x:c>
      <x:c r="H17" t="str">
        <x:v>T007,T006</x:v>
      </x:c>
      <x:c r="I17" t="str">
        <x:v>P0</x:v>
      </x:c>
      <x:c r="J17" s="9" t="str">
        <x:v>Integration CRUD with Mongo</x:v>
      </x:c>
      <x:c r="K17" t="str">
        <x:v>Not Started</x:v>
      </x:c>
    </x:row>
    <x:row r="18" ht="26" customHeight="1">
      <x:c r="A18" t="str">
        <x:v>T017</x:v>
      </x:c>
      <x:c r="B18" t="n">
        <x:v>2</x:v>
      </x:c>
      <x:c r="C18" t="str">
        <x:v>M4</x:v>
      </x:c>
      <x:c r="D18" t="str">
        <x:v>DATA</x:v>
      </x:c>
      <x:c r="E18" t="str">
        <x:v>FR-04</x:v>
      </x:c>
      <x:c r="F18" s="9" t="str">
        <x:v>Schema indexes and migration v2</x:v>
      </x:c>
      <x:c r="G18" t="n">
        <x:v>7</x:v>
      </x:c>
      <x:c r="H18" t="str">
        <x:v>T016</x:v>
      </x:c>
      <x:c r="I18" t="str">
        <x:v>P0</x:v>
      </x:c>
      <x:c r="J18" s="9" t="str">
        <x:v>Migration tested rollback</x:v>
      </x:c>
      <x:c r="K18" t="str">
        <x:v>Not Started</x:v>
      </x:c>
    </x:row>
    <x:row r="19" ht="26" customHeight="1">
      <x:c r="A19" t="str">
        <x:v>T018</x:v>
      </x:c>
      <x:c r="B19" t="n">
        <x:v>2</x:v>
      </x:c>
      <x:c r="C19" t="str">
        <x:v>M5</x:v>
      </x:c>
      <x:c r="D19" t="str">
        <x:v>QA</x:v>
      </x:c>
      <x:c r="E19" t="str">
        <x:v>FR-01..05</x:v>
      </x:c>
      <x:c r="F19" s="9" t="str">
        <x:v>CRUD integration edge scenarios</x:v>
      </x:c>
      <x:c r="G19" t="n">
        <x:v>12</x:v>
      </x:c>
      <x:c r="H19" t="str">
        <x:v>T014,T016</x:v>
      </x:c>
      <x:c r="I19" t="str">
        <x:v>P0</x:v>
      </x:c>
      <x:c r="J19" s="9" t="str">
        <x:v>Core tests pass in CI</x:v>
      </x:c>
      <x:c r="K19" t="str">
        <x:v>Not Started</x:v>
      </x:c>
    </x:row>
    <x:row r="20" ht="26" customHeight="1">
      <x:c r="A20" t="str">
        <x:v>T019</x:v>
      </x:c>
      <x:c r="B20" t="n">
        <x:v>2</x:v>
      </x:c>
      <x:c r="C20" t="str">
        <x:v>M5</x:v>
      </x:c>
      <x:c r="D20" t="str">
        <x:v>QA</x:v>
      </x:c>
      <x:c r="E20" t="str">
        <x:v>CST-05</x:v>
      </x:c>
      <x:c r="F20" s="9" t="str">
        <x:v>Windows Ubuntu cross-platform smoke</x:v>
      </x:c>
      <x:c r="G20" t="n">
        <x:v>6</x:v>
      </x:c>
      <x:c r="H20" t="str">
        <x:v>T012</x:v>
      </x:c>
      <x:c r="I20" t="str">
        <x:v>P1</x:v>
      </x:c>
      <x:c r="J20" s="9" t="str">
        <x:v>Platform evidence logged</x:v>
      </x:c>
      <x:c r="K20" t="str">
        <x:v>Not Started</x:v>
      </x:c>
    </x:row>
    <x:row r="21" ht="26" customHeight="1">
      <x:c r="A21" t="str">
        <x:v>T020</x:v>
      </x:c>
      <x:c r="B21" t="n">
        <x:v>3</x:v>
      </x:c>
      <x:c r="C21" t="str">
        <x:v>M1</x:v>
      </x:c>
      <x:c r="D21" t="str">
        <x:v>PM</x:v>
      </x:c>
      <x:c r="E21" t="str">
        <x:v>ARCH</x:v>
      </x:c>
      <x:c r="F21" s="9" t="str">
        <x:v>Review search semantics &amp; acceptance</x:v>
      </x:c>
      <x:c r="G21" t="n">
        <x:v>7</x:v>
      </x:c>
      <x:c r="H21" t="str">
        <x:v>T011</x:v>
      </x:c>
      <x:c r="I21" t="str">
        <x:v>P0</x:v>
      </x:c>
      <x:c r="J21" s="9" t="str">
        <x:v>DEC-07 confirmed</x:v>
      </x:c>
      <x:c r="K21" t="str">
        <x:v>Not Started</x:v>
      </x:c>
    </x:row>
    <x:row r="22" ht="26" customHeight="1">
      <x:c r="A22" t="str">
        <x:v>T021</x:v>
      </x:c>
      <x:c r="B22" t="n">
        <x:v>3</x:v>
      </x:c>
      <x:c r="C22" t="str">
        <x:v>M2</x:v>
      </x:c>
      <x:c r="D22" t="str">
        <x:v>UI</x:v>
      </x:c>
      <x:c r="E22" t="str">
        <x:v>FR-06,07</x:v>
      </x:c>
      <x:c r="F22" s="9" t="str">
        <x:v>Search/filter UI debounce stale response guard</x:v>
      </x:c>
      <x:c r="G22" t="n">
        <x:v>13</x:v>
      </x:c>
      <x:c r="H22" t="str">
        <x:v>T012</x:v>
      </x:c>
      <x:c r="I22" t="str">
        <x:v>P0</x:v>
      </x:c>
      <x:c r="J22" s="9" t="str">
        <x:v>Late response ignored</x:v>
      </x:c>
      <x:c r="K22" t="str">
        <x:v>Not Started</x:v>
      </x:c>
    </x:row>
    <x:row r="23" ht="26" customHeight="1">
      <x:c r="A23" t="str">
        <x:v>T022</x:v>
      </x:c>
      <x:c r="B23" t="n">
        <x:v>3</x:v>
      </x:c>
      <x:c r="C23" t="str">
        <x:v>M2</x:v>
      </x:c>
      <x:c r="D23" t="str">
        <x:v>UI</x:v>
      </x:c>
      <x:c r="E23" t="str">
        <x:v>FR-03,13</x:v>
      </x:c>
      <x:c r="F23" s="9" t="str">
        <x:v>Trash view delete restore dialogs</x:v>
      </x:c>
      <x:c r="G23" t="n">
        <x:v>8</x:v>
      </x:c>
      <x:c r="H23" t="str">
        <x:v>T012</x:v>
      </x:c>
      <x:c r="I23" t="str">
        <x:v>P0</x:v>
      </x:c>
      <x:c r="J23" s="9" t="str">
        <x:v>Cancel hard delete safe</x:v>
      </x:c>
      <x:c r="K23" t="str">
        <x:v>Not Started</x:v>
      </x:c>
    </x:row>
    <x:row r="24" ht="26" customHeight="1">
      <x:c r="A24" t="str">
        <x:v>T023</x:v>
      </x:c>
      <x:c r="B24" t="n">
        <x:v>3</x:v>
      </x:c>
      <x:c r="C24" t="str">
        <x:v>M3</x:v>
      </x:c>
      <x:c r="D24" t="str">
        <x:v>CORE</x:v>
      </x:c>
      <x:c r="E24" t="str">
        <x:v>FR-06,07,11</x:v>
      </x:c>
      <x:c r="F24" s="9" t="str">
        <x:v>Typed search sort filter use cases</x:v>
      </x:c>
      <x:c r="G24" t="n">
        <x:v>13</x:v>
      </x:c>
      <x:c r="H24" t="str">
        <x:v>T014</x:v>
      </x:c>
      <x:c r="I24" t="str">
        <x:v>P0</x:v>
      </x:c>
      <x:c r="J24" s="9" t="str">
        <x:v>Unit filters and cursor</x:v>
      </x:c>
      <x:c r="K24" t="str">
        <x:v>Not Started</x:v>
      </x:c>
    </x:row>
    <x:row r="25" ht="26" customHeight="1">
      <x:c r="A25" t="str">
        <x:v>T024</x:v>
      </x:c>
      <x:c r="B25" t="n">
        <x:v>3</x:v>
      </x:c>
      <x:c r="C25" t="str">
        <x:v>M3</x:v>
      </x:c>
      <x:c r="D25" t="str">
        <x:v>CORE</x:v>
      </x:c>
      <x:c r="E25" t="str">
        <x:v>FR-03,13</x:v>
      </x:c>
      <x:c r="F25" s="9" t="str">
        <x:v>Trash restore hard delete use cases</x:v>
      </x:c>
      <x:c r="G25" t="n">
        <x:v>8</x:v>
      </x:c>
      <x:c r="H25" t="str">
        <x:v>T014</x:v>
      </x:c>
      <x:c r="I25" t="str">
        <x:v>P0</x:v>
      </x:c>
      <x:c r="J25" s="9" t="str">
        <x:v>Explicit state transitions</x:v>
      </x:c>
      <x:c r="K25" t="str">
        <x:v>Not Started</x:v>
      </x:c>
    </x:row>
    <x:row r="26" ht="26" customHeight="1">
      <x:c r="A26" t="str">
        <x:v>T025</x:v>
      </x:c>
      <x:c r="B26" t="n">
        <x:v>3</x:v>
      </x:c>
      <x:c r="C26" t="str">
        <x:v>M4</x:v>
      </x:c>
      <x:c r="D26" t="str">
        <x:v>DATA</x:v>
      </x:c>
      <x:c r="E26" t="str">
        <x:v>FR-06,07,11</x:v>
      </x:c>
      <x:c r="F26" s="9" t="str">
        <x:v>Mongo text time range and sort indexes</x:v>
      </x:c>
      <x:c r="G26" t="n">
        <x:v>12</x:v>
      </x:c>
      <x:c r="H26" t="str">
        <x:v>T016</x:v>
      </x:c>
      <x:c r="I26" t="str">
        <x:v>P0</x:v>
      </x:c>
      <x:c r="J26" s="9" t="str">
        <x:v>explain and accurate results</x:v>
      </x:c>
      <x:c r="K26" t="str">
        <x:v>Not Started</x:v>
      </x:c>
    </x:row>
    <x:row r="27" ht="26" customHeight="1">
      <x:c r="A27" t="str">
        <x:v>T026</x:v>
      </x:c>
      <x:c r="B27" t="n">
        <x:v>3</x:v>
      </x:c>
      <x:c r="C27" t="str">
        <x:v>M4</x:v>
      </x:c>
      <x:c r="D27" t="str">
        <x:v>DATA</x:v>
      </x:c>
      <x:c r="E27" t="str">
        <x:v>FR-13</x:v>
      </x:c>
      <x:c r="F27" s="9" t="str">
        <x:v>Purge worker scaffold and maintenance state</x:v>
      </x:c>
      <x:c r="G27" t="n">
        <x:v>7</x:v>
      </x:c>
      <x:c r="H27" t="str">
        <x:v>T016</x:v>
      </x:c>
      <x:c r="I27" t="str">
        <x:v>P0</x:v>
      </x:c>
      <x:c r="J27" s="9" t="str">
        <x:v>No TTL orphan hazard</x:v>
      </x:c>
      <x:c r="K27" t="str">
        <x:v>Not Started</x:v>
      </x:c>
    </x:row>
    <x:row r="28" ht="26" customHeight="1">
      <x:c r="A28" t="str">
        <x:v>T027</x:v>
      </x:c>
      <x:c r="B28" t="n">
        <x:v>3</x:v>
      </x:c>
      <x:c r="C28" t="str">
        <x:v>M5</x:v>
      </x:c>
      <x:c r="D28" t="str">
        <x:v>QA</x:v>
      </x:c>
      <x:c r="E28" t="str">
        <x:v>FR-06,07,11</x:v>
      </x:c>
      <x:c r="F28" s="9" t="str">
        <x:v>Vietnamese search boundary and race tests</x:v>
      </x:c>
      <x:c r="G28" t="n">
        <x:v>12</x:v>
      </x:c>
      <x:c r="H28" t="str">
        <x:v>T023,T025</x:v>
      </x:c>
      <x:c r="I28" t="str">
        <x:v>P0</x:v>
      </x:c>
      <x:c r="J28" s="9" t="str">
        <x:v>Search semantics evidence</x:v>
      </x:c>
      <x:c r="K28" t="str">
        <x:v>Not Started</x:v>
      </x:c>
    </x:row>
    <x:row r="29" ht="26" customHeight="1">
      <x:c r="A29" t="str">
        <x:v>T028</x:v>
      </x:c>
      <x:c r="B29" t="n">
        <x:v>3</x:v>
      </x:c>
      <x:c r="C29" t="str">
        <x:v>M5</x:v>
      </x:c>
      <x:c r="D29" t="str">
        <x:v>QA</x:v>
      </x:c>
      <x:c r="E29" t="str">
        <x:v>FR-03,13</x:v>
      </x:c>
      <x:c r="F29" s="9" t="str">
        <x:v>Trash restore and purge tests</x:v>
      </x:c>
      <x:c r="G29" t="n">
        <x:v>6</x:v>
      </x:c>
      <x:c r="H29" t="str">
        <x:v>T024,T026</x:v>
      </x:c>
      <x:c r="I29" t="str">
        <x:v>P0</x:v>
      </x:c>
      <x:c r="J29" s="9" t="str">
        <x:v>Data integrity scenarios</x:v>
      </x:c>
      <x:c r="K29" t="str">
        <x:v>Not Started</x:v>
      </x:c>
    </x:row>
    <x:row r="30" ht="26" customHeight="1">
      <x:c r="A30" t="str">
        <x:v>T029</x:v>
      </x:c>
      <x:c r="B30" t="n">
        <x:v>4</x:v>
      </x:c>
      <x:c r="C30" t="str">
        <x:v>M1</x:v>
      </x:c>
      <x:c r="D30" t="str">
        <x:v>PM</x:v>
      </x:c>
      <x:c r="E30" t="str">
        <x:v>ARCH</x:v>
      </x:c>
      <x:c r="F30" s="9" t="str">
        <x:v>Attachment lifecycle ADR and security review</x:v>
      </x:c>
      <x:c r="G30" t="n">
        <x:v>7</x:v>
      </x:c>
      <x:c r="H30" t="str">
        <x:v>T020</x:v>
      </x:c>
      <x:c r="I30" t="str">
        <x:v>P0</x:v>
      </x:c>
      <x:c r="J30" s="9" t="str">
        <x:v>Data cleanup contract approved</x:v>
      </x:c>
      <x:c r="K30" t="str">
        <x:v>Not Started</x:v>
      </x:c>
    </x:row>
    <x:row r="31" ht="26" customHeight="1">
      <x:c r="A31" t="str">
        <x:v>T030</x:v>
      </x:c>
      <x:c r="B31" t="n">
        <x:v>4</x:v>
      </x:c>
      <x:c r="C31" t="str">
        <x:v>M2</x:v>
      </x:c>
      <x:c r="D31" t="str">
        <x:v>UI</x:v>
      </x:c>
      <x:c r="E31" t="str">
        <x:v>FR-08</x:v>
      </x:c>
      <x:c r="F31" s="9" t="str">
        <x:v>Image selection thumbnail progress errors</x:v>
      </x:c>
      <x:c r="G31" t="n">
        <x:v>11</x:v>
      </x:c>
      <x:c r="H31" t="str">
        <x:v>T012</x:v>
      </x:c>
      <x:c r="I31" t="str">
        <x:v>P0</x:v>
      </x:c>
      <x:c r="J31" s="9" t="str">
        <x:v>UI does not freeze</x:v>
      </x:c>
      <x:c r="K31" t="str">
        <x:v>Not Started</x:v>
      </x:c>
    </x:row>
    <x:row r="32" ht="26" customHeight="1">
      <x:c r="A32" t="str">
        <x:v>T031</x:v>
      </x:c>
      <x:c r="B32" t="n">
        <x:v>4</x:v>
      </x:c>
      <x:c r="C32" t="str">
        <x:v>M3</x:v>
      </x:c>
      <x:c r="D32" t="str">
        <x:v>CORE</x:v>
      </x:c>
      <x:c r="E32" t="str">
        <x:v>FR-08</x:v>
      </x:c>
      <x:c r="F32" s="9" t="str">
        <x:v>Attachment use case validate and replace</x:v>
      </x:c>
      <x:c r="G32" t="n">
        <x:v>10</x:v>
      </x:c>
      <x:c r="H32" t="str">
        <x:v>T024</x:v>
      </x:c>
      <x:c r="I32" t="str">
        <x:v>P0</x:v>
      </x:c>
      <x:c r="J32" s="9" t="str">
        <x:v>Old ref retained until success</x:v>
      </x:c>
      <x:c r="K32" t="str">
        <x:v>Not Started</x:v>
      </x:c>
    </x:row>
    <x:row r="33" ht="26" customHeight="1">
      <x:c r="A33" t="str">
        <x:v>T032</x:v>
      </x:c>
      <x:c r="B33" t="n">
        <x:v>4</x:v>
      </x:c>
      <x:c r="C33" t="str">
        <x:v>M4</x:v>
      </x:c>
      <x:c r="D33" t="str">
        <x:v>DATA</x:v>
      </x:c>
      <x:c r="E33" t="str">
        <x:v>FR-08</x:v>
      </x:c>
      <x:c r="F33" s="9" t="str">
        <x:v>Hybrid inline BSON GridFS storage</x:v>
      </x:c>
      <x:c r="G33" t="n">
        <x:v>15</x:v>
      </x:c>
      <x:c r="H33" t="str">
        <x:v>T008,T016</x:v>
      </x:c>
      <x:c r="I33" t="str">
        <x:v>P0</x:v>
      </x:c>
      <x:c r="J33" s="9" t="str">
        <x:v>Size boundaries pass</x:v>
      </x:c>
      <x:c r="K33" t="str">
        <x:v>Not Started</x:v>
      </x:c>
    </x:row>
    <x:row r="34" ht="26" customHeight="1">
      <x:c r="A34" t="str">
        <x:v>T033</x:v>
      </x:c>
      <x:c r="B34" t="n">
        <x:v>4</x:v>
      </x:c>
      <x:c r="C34" t="str">
        <x:v>M4</x:v>
      </x:c>
      <x:c r="D34" t="str">
        <x:v>DATA</x:v>
      </x:c>
      <x:c r="E34" t="str">
        <x:v>FR-08</x:v>
      </x:c>
      <x:c r="F34" s="9" t="str">
        <x:v>GridFS compensations orphan reconcile</x:v>
      </x:c>
      <x:c r="G34" t="n">
        <x:v>10</x:v>
      </x:c>
      <x:c r="H34" t="str">
        <x:v>T032</x:v>
      </x:c>
      <x:c r="I34" t="str">
        <x:v>P0</x:v>
      </x:c>
      <x:c r="J34" s="9" t="str">
        <x:v>Fault injection passes</x:v>
      </x:c>
      <x:c r="K34" t="str">
        <x:v>Not Started</x:v>
      </x:c>
    </x:row>
    <x:row r="35" ht="26" customHeight="1">
      <x:c r="A35" t="str">
        <x:v>T034</x:v>
      </x:c>
      <x:c r="B35" t="n">
        <x:v>4</x:v>
      </x:c>
      <x:c r="C35" t="str">
        <x:v>M5</x:v>
      </x:c>
      <x:c r="D35" t="str">
        <x:v>QA</x:v>
      </x:c>
      <x:c r="E35" t="str">
        <x:v>FR-08</x:v>
      </x:c>
      <x:c r="F35" s="9" t="str">
        <x:v>Image boundary corruption and interruption tests</x:v>
      </x:c>
      <x:c r="G35" t="n">
        <x:v>13</x:v>
      </x:c>
      <x:c r="H35" t="str">
        <x:v>T032</x:v>
      </x:c>
      <x:c r="I35" t="str">
        <x:v>P0</x:v>
      </x:c>
      <x:c r="J35" s="9" t="str">
        <x:v>No orphan and no crash</x:v>
      </x:c>
      <x:c r="K35" t="str">
        <x:v>Not Started</x:v>
      </x:c>
    </x:row>
    <x:row r="36" ht="26" customHeight="1">
      <x:c r="A36" t="str">
        <x:v>T035</x:v>
      </x:c>
      <x:c r="B36" t="n">
        <x:v>4</x:v>
      </x:c>
      <x:c r="C36" t="str">
        <x:v>M5</x:v>
      </x:c>
      <x:c r="D36" t="str">
        <x:v>QA</x:v>
      </x:c>
      <x:c r="E36" t="str">
        <x:v>NFR-PERF-04</x:v>
      </x:c>
      <x:c r="F36" s="9" t="str">
        <x:v>Measure memory and UI event latency</x:v>
      </x:c>
      <x:c r="G36" t="n">
        <x:v>6</x:v>
      </x:c>
      <x:c r="H36" t="str">
        <x:v>T030</x:v>
      </x:c>
      <x:c r="I36" t="str">
        <x:v>P1</x:v>
      </x:c>
      <x:c r="J36" s="9" t="str">
        <x:v>Raw measurements stored</x:v>
      </x:c>
      <x:c r="K36" t="str">
        <x:v>Not Started</x:v>
      </x:c>
    </x:row>
    <x:row r="37" ht="26" customHeight="1">
      <x:c r="A37" t="str">
        <x:v>T036</x:v>
      </x:c>
      <x:c r="B37" t="n">
        <x:v>5</x:v>
      </x:c>
      <x:c r="C37" t="str">
        <x:v>M1</x:v>
      </x:c>
      <x:c r="D37" t="str">
        <x:v>PM</x:v>
      </x:c>
      <x:c r="E37" t="str">
        <x:v>SEC</x:v>
      </x:c>
      <x:c r="F37" s="9" t="str">
        <x:v>Threat model direct DB / offline + checkpoint</x:v>
      </x:c>
      <x:c r="G37" t="n">
        <x:v>8</x:v>
      </x:c>
      <x:c r="H37" t="str">
        <x:v>T029</x:v>
      </x:c>
      <x:c r="I37" t="str">
        <x:v>P0</x:v>
      </x:c>
      <x:c r="J37" s="9" t="str">
        <x:v>Security review actions tracked</x:v>
      </x:c>
      <x:c r="K37" t="str">
        <x:v>Not Started</x:v>
      </x:c>
    </x:row>
    <x:row r="38" ht="26" customHeight="1">
      <x:c r="A38" t="str">
        <x:v>T037</x:v>
      </x:c>
      <x:c r="B38" t="n">
        <x:v>5</x:v>
      </x:c>
      <x:c r="C38" t="str">
        <x:v>M2</x:v>
      </x:c>
      <x:c r="D38" t="str">
        <x:v>UI</x:v>
      </x:c>
      <x:c r="E38" t="str">
        <x:v>FR-09,10</x:v>
      </x:c>
      <x:c r="F38" s="9" t="str">
        <x:v>Reminder UX states and time conversion</x:v>
      </x:c>
      <x:c r="G38" t="n">
        <x:v>10</x:v>
      </x:c>
      <x:c r="H38" t="str">
        <x:v>T012</x:v>
      </x:c>
      <x:c r="I38" t="str">
        <x:v>P0</x:v>
      </x:c>
      <x:c r="J38" s="9" t="str">
        <x:v>Reject past and display UTC local</x:v>
      </x:c>
      <x:c r="K38" t="str">
        <x:v>Not Started</x:v>
      </x:c>
    </x:row>
    <x:row r="39" ht="26" customHeight="1">
      <x:c r="A39" t="str">
        <x:v>T038</x:v>
      </x:c>
      <x:c r="B39" t="n">
        <x:v>5</x:v>
      </x:c>
      <x:c r="C39" t="str">
        <x:v>M2</x:v>
      </x:c>
      <x:c r="D39" t="str">
        <x:v>UI</x:v>
      </x:c>
      <x:c r="E39" t="str">
        <x:v>FR-17</x:v>
      </x:c>
      <x:c r="F39" s="9" t="str">
        <x:v>Offline banner and draft recovery modal</x:v>
      </x:c>
      <x:c r="G39" t="n">
        <x:v>8</x:v>
      </x:c>
      <x:c r="H39" t="str">
        <x:v>T012</x:v>
      </x:c>
      <x:c r="I39" t="str">
        <x:v>P0</x:v>
      </x:c>
      <x:c r="J39" s="9" t="str">
        <x:v>No false Saved label</x:v>
      </x:c>
      <x:c r="K39" t="str">
        <x:v>Not Started</x:v>
      </x:c>
    </x:row>
    <x:row r="40" ht="26" customHeight="1">
      <x:c r="A40" t="str">
        <x:v>T039</x:v>
      </x:c>
      <x:c r="B40" t="n">
        <x:v>5</x:v>
      </x:c>
      <x:c r="C40" t="str">
        <x:v>M3</x:v>
      </x:c>
      <x:c r="D40" t="str">
        <x:v>CORE</x:v>
      </x:c>
      <x:c r="E40" t="str">
        <x:v>FR-09,10</x:v>
      </x:c>
      <x:c r="F40" s="9" t="str">
        <x:v>Reminder use cases fake clock state machine</x:v>
      </x:c>
      <x:c r="G40" t="n">
        <x:v>12</x:v>
      </x:c>
      <x:c r="H40" t="str">
        <x:v>T014</x:v>
      </x:c>
      <x:c r="I40" t="str">
        <x:v>P0</x:v>
      </x:c>
      <x:c r="J40" s="9" t="str">
        <x:v>Time travel unit tests</x:v>
      </x:c>
      <x:c r="K40" t="str">
        <x:v>Not Started</x:v>
      </x:c>
    </x:row>
    <x:row r="41" ht="26" customHeight="1">
      <x:c r="A41" t="str">
        <x:v>T040</x:v>
      </x:c>
      <x:c r="B41" t="n">
        <x:v>5</x:v>
      </x:c>
      <x:c r="C41" t="str">
        <x:v>M3</x:v>
      </x:c>
      <x:c r="D41" t="str">
        <x:v>CORE</x:v>
      </x:c>
      <x:c r="E41" t="str">
        <x:v>FR-17</x:v>
      </x:c>
      <x:c r="F41" s="9" t="str">
        <x:v>RecoverDraft idempotency conflict flows</x:v>
      </x:c>
      <x:c r="G41" t="n">
        <x:v>9</x:v>
      </x:c>
      <x:c r="H41" t="str">
        <x:v>T014</x:v>
      </x:c>
      <x:c r="I41" t="str">
        <x:v>P0</x:v>
      </x:c>
      <x:c r="J41" s="9" t="str">
        <x:v>No overwrite on version mismatch</x:v>
      </x:c>
      <x:c r="K41" t="str">
        <x:v>Not Started</x:v>
      </x:c>
    </x:row>
    <x:row r="42" ht="26" customHeight="1">
      <x:c r="A42" t="str">
        <x:v>T041</x:v>
      </x:c>
      <x:c r="B42" t="n">
        <x:v>5</x:v>
      </x:c>
      <x:c r="C42" t="str">
        <x:v>M4</x:v>
      </x:c>
      <x:c r="D42" t="str">
        <x:v>DATA</x:v>
      </x:c>
      <x:c r="E42" t="str">
        <x:v>FR-09,10</x:v>
      </x:c>
      <x:c r="F42" s="9" t="str">
        <x:v>Reminder poller OS notification gateway</x:v>
      </x:c>
      <x:c r="G42" t="n">
        <x:v>12</x:v>
      </x:c>
      <x:c r="H42" t="str">
        <x:v>T026,T039</x:v>
      </x:c>
      <x:c r="I42" t="str">
        <x:v>P0</x:v>
      </x:c>
      <x:c r="J42" s="9" t="str">
        <x:v>Best effort attempt documented</x:v>
      </x:c>
      <x:c r="K42" t="str">
        <x:v>Not Started</x:v>
      </x:c>
    </x:row>
    <x:row r="43" ht="26" customHeight="1">
      <x:c r="A43" t="str">
        <x:v>T042</x:v>
      </x:c>
      <x:c r="B43" t="n">
        <x:v>5</x:v>
      </x:c>
      <x:c r="C43" t="str">
        <x:v>M4</x:v>
      </x:c>
      <x:c r="D43" t="str">
        <x:v>DATA</x:v>
      </x:c>
      <x:c r="E43" t="str">
        <x:v>FR-17</x:v>
      </x:c>
      <x:c r="F43" s="9" t="str">
        <x:v>AESGCM local draft keystore backoff</x:v>
      </x:c>
      <x:c r="G43" t="n">
        <x:v>14</x:v>
      </x:c>
      <x:c r="H43" t="str">
        <x:v>T016,T040</x:v>
      </x:c>
      <x:c r="I43" t="str">
        <x:v>P0</x:v>
      </x:c>
      <x:c r="J43" s="9" t="str">
        <x:v>Ciphertext only persists</x:v>
      </x:c>
      <x:c r="K43" t="str">
        <x:v>Not Started</x:v>
      </x:c>
    </x:row>
    <x:row r="44" ht="26" customHeight="1">
      <x:c r="A44" t="str">
        <x:v>T043</x:v>
      </x:c>
      <x:c r="B44" t="n">
        <x:v>5</x:v>
      </x:c>
      <x:c r="C44" t="str">
        <x:v>M5</x:v>
      </x:c>
      <x:c r="D44" t="str">
        <x:v>QA</x:v>
      </x:c>
      <x:c r="E44" t="str">
        <x:v>FR-09,10,17</x:v>
      </x:c>
      <x:c r="F44" s="9" t="str">
        <x:v>Offline restart missed reminder fault tests</x:v>
      </x:c>
      <x:c r="G44" t="n">
        <x:v>15</x:v>
      </x:c>
      <x:c r="H44" t="str">
        <x:v>T041,T042</x:v>
      </x:c>
      <x:c r="I44" t="str">
        <x:v>P0</x:v>
      </x:c>
      <x:c r="J44" s="9" t="str">
        <x:v>System scenarios green</x:v>
      </x:c>
      <x:c r="K44" t="str">
        <x:v>Not Started</x:v>
      </x:c>
    </x:row>
    <x:row r="45" ht="26" customHeight="1">
      <x:c r="A45" t="str">
        <x:v>T044</x:v>
      </x:c>
      <x:c r="B45" t="n">
        <x:v>6</x:v>
      </x:c>
      <x:c r="C45" t="str">
        <x:v>M1</x:v>
      </x:c>
      <x:c r="D45" t="str">
        <x:v>PM</x:v>
      </x:c>
      <x:c r="E45" t="str">
        <x:v>PM</x:v>
      </x:c>
      <x:c r="F45" s="9" t="str">
        <x:v>Release scope lock and risk closure</x:v>
      </x:c>
      <x:c r="G45" t="n">
        <x:v>7</x:v>
      </x:c>
      <x:c r="H45" t="str">
        <x:v>T036</x:v>
      </x:c>
      <x:c r="I45" t="str">
        <x:v>P0</x:v>
      </x:c>
      <x:c r="J45" s="9" t="str">
        <x:v>No open unknown blocker</x:v>
      </x:c>
      <x:c r="K45" t="str">
        <x:v>Not Started</x:v>
      </x:c>
    </x:row>
    <x:row r="46" ht="26" customHeight="1">
      <x:c r="A46" t="str">
        <x:v>T045</x:v>
      </x:c>
      <x:c r="B46" t="n">
        <x:v>6</x:v>
      </x:c>
      <x:c r="C46" t="str">
        <x:v>M2</x:v>
      </x:c>
      <x:c r="D46" t="str">
        <x:v>UI</x:v>
      </x:c>
      <x:c r="E46" t="str">
        <x:v>CST-03</x:v>
      </x:c>
      <x:c r="F46" s="9" t="str">
        <x:v>Fix integration UX async shutdown and badges</x:v>
      </x:c>
      <x:c r="G46" t="n">
        <x:v>12</x:v>
      </x:c>
      <x:c r="H46" t="str">
        <x:v>T038</x:v>
      </x:c>
      <x:c r="I46" t="str">
        <x:v>P0</x:v>
      </x:c>
      <x:c r="J46" s="9" t="str">
        <x:v>No UI cross-thread update</x:v>
      </x:c>
      <x:c r="K46" t="str">
        <x:v>Not Started</x:v>
      </x:c>
    </x:row>
    <x:row r="47" ht="26" customHeight="1">
      <x:c r="A47" t="str">
        <x:v>T046</x:v>
      </x:c>
      <x:c r="B47" t="n">
        <x:v>6</x:v>
      </x:c>
      <x:c r="C47" t="str">
        <x:v>M3</x:v>
      </x:c>
      <x:c r="D47" t="str">
        <x:v>CORE</x:v>
      </x:c>
      <x:c r="E47" t="str">
        <x:v>CORE</x:v>
      </x:c>
      <x:c r="F47" s="9" t="str">
        <x:v>End to end hardening and error mapping</x:v>
      </x:c>
      <x:c r="G47" t="n">
        <x:v>13</x:v>
      </x:c>
      <x:c r="H47" t="str">
        <x:v>T040</x:v>
      </x:c>
      <x:c r="I47" t="str">
        <x:v>P0</x:v>
      </x:c>
      <x:c r="J47" s="9" t="str">
        <x:v>Complete use case suite</x:v>
      </x:c>
      <x:c r="K47" t="str">
        <x:v>Not Started</x:v>
      </x:c>
    </x:row>
    <x:row r="48" ht="26" customHeight="1">
      <x:c r="A48" t="str">
        <x:v>T047</x:v>
      </x:c>
      <x:c r="B48" t="n">
        <x:v>8</x:v>
      </x:c>
      <x:c r="C48" t="str">
        <x:v>M1</x:v>
      </x:c>
      <x:c r="D48" t="str">
        <x:v>DATA</x:v>
      </x:c>
      <x:c r="E48" t="str">
        <x:v>NFR-REL</x:v>
      </x:c>
      <x:c r="F48" s="9" t="str">
        <x:v>Backup restore rehearsal + retries</x:v>
      </x:c>
      <x:c r="G48" t="n">
        <x:v>13</x:v>
      </x:c>
      <x:c r="H48" t="str">
        <x:v>T042</x:v>
      </x:c>
      <x:c r="I48" t="str">
        <x:v>P0</x:v>
      </x:c>
      <x:c r="J48" s="9" t="str">
        <x:v>Restored fixture matches</x:v>
      </x:c>
      <x:c r="K48" t="str">
        <x:v>Not Started</x:v>
      </x:c>
    </x:row>
    <x:row r="49" ht="26" customHeight="1">
      <x:c r="A49" t="str">
        <x:v>T048</x:v>
      </x:c>
      <x:c r="B49" t="n">
        <x:v>6</x:v>
      </x:c>
      <x:c r="C49" t="str">
        <x:v>M5</x:v>
      </x:c>
      <x:c r="D49" t="str">
        <x:v>QA</x:v>
      </x:c>
      <x:c r="E49" t="str">
        <x:v>RTM</x:v>
      </x:c>
      <x:c r="F49" s="9" t="str">
        <x:v>Full regression suite and bug triage</x:v>
      </x:c>
      <x:c r="G49" t="n">
        <x:v>15</x:v>
      </x:c>
      <x:c r="H49" t="str">
        <x:v>T043,T034</x:v>
      </x:c>
      <x:c r="I49" t="str">
        <x:v>P0</x:v>
      </x:c>
      <x:c r="J49" s="9" t="str">
        <x:v>No P0/P1 blocker</x:v>
      </x:c>
      <x:c r="K49" t="str">
        <x:v>Not Started</x:v>
      </x:c>
    </x:row>
    <x:row r="50" ht="26" customHeight="1">
      <x:c r="A50" t="str">
        <x:v>T049</x:v>
      </x:c>
      <x:c r="B50" t="n">
        <x:v>9</x:v>
      </x:c>
      <x:c r="C50" t="str">
        <x:v>M1</x:v>
      </x:c>
      <x:c r="D50" t="str">
        <x:v>PM</x:v>
      </x:c>
      <x:c r="E50" t="str">
        <x:v>PM</x:v>
      </x:c>
      <x:c r="F50" s="9" t="str">
        <x:v>UAT decision sign off release notes</x:v>
      </x:c>
      <x:c r="G50" t="n">
        <x:v>10</x:v>
      </x:c>
      <x:c r="H50" t="str">
        <x:v>T044,T048,T047</x:v>
      </x:c>
      <x:c r="I50" t="str">
        <x:v>P0</x:v>
      </x:c>
      <x:c r="J50" s="9" t="str">
        <x:v>Approval and limitations written</x:v>
      </x:c>
      <x:c r="K50" t="str">
        <x:v>Not Started</x:v>
      </x:c>
    </x:row>
    <x:row r="51" ht="26" customHeight="1">
      <x:c r="A51" t="str">
        <x:v>T050</x:v>
      </x:c>
      <x:c r="B51" t="n">
        <x:v>8</x:v>
      </x:c>
      <x:c r="C51" t="str">
        <x:v>M2</x:v>
      </x:c>
      <x:c r="D51" t="str">
        <x:v>UI</x:v>
      </x:c>
      <x:c r="E51" t="str">
        <x:v>CST-02</x:v>
      </x:c>
      <x:c r="F51" s="9" t="str">
        <x:v>Accessibility polish, user guide screenshots</x:v>
      </x:c>
      <x:c r="G51" t="n">
        <x:v>9</x:v>
      </x:c>
      <x:c r="H51" t="str">
        <x:v>T045</x:v>
      </x:c>
      <x:c r="I51" t="str">
        <x:v>P1</x:v>
      </x:c>
      <x:c r="J51" s="9" t="str">
        <x:v>User journey documented</x:v>
      </x:c>
      <x:c r="K51" t="str">
        <x:v>Not Started</x:v>
      </x:c>
    </x:row>
    <x:row r="52" ht="26" customHeight="1">
      <x:c r="A52" t="str">
        <x:v>T051</x:v>
      </x:c>
      <x:c r="B52" t="n">
        <x:v>8</x:v>
      </x:c>
      <x:c r="C52" t="str">
        <x:v>M3</x:v>
      </x:c>
      <x:c r="D52" t="str">
        <x:v>CORE</x:v>
      </x:c>
      <x:c r="E52" t="str">
        <x:v>DOC</x:v>
      </x:c>
      <x:c r="F52" s="9" t="str">
        <x:v>Contract docs and architecture handoff</x:v>
      </x:c>
      <x:c r="G52" t="n">
        <x:v>8</x:v>
      </x:c>
      <x:c r="H52" t="str">
        <x:v>T046</x:v>
      </x:c>
      <x:c r="I52" t="str">
        <x:v>P1</x:v>
      </x:c>
      <x:c r="J52" s="9" t="str">
        <x:v>Interfaces documented</x:v>
      </x:c>
      <x:c r="K52" t="str">
        <x:v>Not Started</x:v>
      </x:c>
    </x:row>
    <x:row r="53" ht="26" customHeight="1">
      <x:c r="A53" t="str">
        <x:v>T052</x:v>
      </x:c>
      <x:c r="B53" t="n">
        <x:v>8</x:v>
      </x:c>
      <x:c r="C53" t="str">
        <x:v>M4</x:v>
      </x:c>
      <x:c r="D53" t="str">
        <x:v>OPS</x:v>
      </x:c>
      <x:c r="E53" t="str">
        <x:v>CST-05</x:v>
      </x:c>
      <x:c r="F53" s="9" t="str">
        <x:v>Build package and install instructions</x:v>
      </x:c>
      <x:c r="G53" t="n">
        <x:v>11</x:v>
      </x:c>
      <x:c r="H53" t="str">
        <x:v>T047</x:v>
      </x:c>
      <x:c r="I53" t="str">
        <x:v>P0</x:v>
      </x:c>
      <x:c r="J53" s="9" t="str">
        <x:v>Artifact reproducible</x:v>
      </x:c>
      <x:c r="K53" t="str">
        <x:v>Not Started</x:v>
      </x:c>
    </x:row>
    <x:row r="54" ht="26" customHeight="1">
      <x:c r="A54" t="str">
        <x:v>T053</x:v>
      </x:c>
      <x:c r="B54" t="n">
        <x:v>9</x:v>
      </x:c>
      <x:c r="C54" t="str">
        <x:v>M5</x:v>
      </x:c>
      <x:c r="D54" t="str">
        <x:v>QA</x:v>
      </x:c>
      <x:c r="E54" t="str">
        <x:v>NFR</x:v>
      </x:c>
      <x:c r="F54" s="9" t="str">
        <x:v>Benchmark report and final platform matrix</x:v>
      </x:c>
      <x:c r="G54" t="n">
        <x:v>13</x:v>
      </x:c>
      <x:c r="H54" t="str">
        <x:v>T048,T052</x:v>
      </x:c>
      <x:c r="I54" t="str">
        <x:v>P0</x:v>
      </x:c>
      <x:c r="J54" s="9" t="str">
        <x:v>No unverified NFR claimed passed</x:v>
      </x:c>
      <x:c r="K54" t="str">
        <x:v>Not Started</x:v>
      </x:c>
    </x:row>
    <x:row r="55" ht="26" customHeight="1">
      <x:c r="A55" t="str">
        <x:v>T054</x:v>
      </x:c>
      <x:c r="B55" t="n">
        <x:v>7</x:v>
      </x:c>
      <x:c r="C55" t="str">
        <x:v>M2</x:v>
      </x:c>
      <x:c r="D55" t="str">
        <x:v>UI</x:v>
      </x:c>
      <x:c r="E55" t="str">
        <x:v>CST-03</x:v>
      </x:c>
      <x:c r="F55" s="9" t="str">
        <x:v>RC UI smoke fixes and usability polish</x:v>
      </x:c>
      <x:c r="G55" t="n">
        <x:v>8</x:v>
      </x:c>
      <x:c r="H55" t="str">
        <x:v>T045</x:v>
      </x:c>
      <x:c r="I55" t="str">
        <x:v>P0</x:v>
      </x:c>
      <x:c r="J55" s="9" t="str">
        <x:v>No blocking UI issue</x:v>
      </x:c>
      <x:c r="K55" t="str">
        <x:v>Not Started</x:v>
      </x:c>
    </x:row>
    <x:row r="56" ht="26" customHeight="1">
      <x:c r="A56" t="str">
        <x:v>T055</x:v>
      </x:c>
      <x:c r="B56" t="n">
        <x:v>7</x:v>
      </x:c>
      <x:c r="C56" t="str">
        <x:v>M3</x:v>
      </x:c>
      <x:c r="D56" t="str">
        <x:v>CORE</x:v>
      </x:c>
      <x:c r="E56" t="str">
        <x:v>FR-01..11</x:v>
      </x:c>
      <x:c r="F56" s="9" t="str">
        <x:v>Resolve E2E integration defects</x:v>
      </x:c>
      <x:c r="G56" t="n">
        <x:v>8</x:v>
      </x:c>
      <x:c r="H56" t="str">
        <x:v>T046,T048</x:v>
      </x:c>
      <x:c r="I56" t="str">
        <x:v>P0</x:v>
      </x:c>
      <x:c r="J56" s="9" t="str">
        <x:v>All critical use cases pass</x:v>
      </x:c>
      <x:c r="K56" t="str">
        <x:v>Not Started</x:v>
      </x:c>
    </x:row>
    <x:row r="57" ht="26" customHeight="1">
      <x:c r="A57" t="str">
        <x:v>T056</x:v>
      </x:c>
      <x:c r="B57" t="n">
        <x:v>7</x:v>
      </x:c>
      <x:c r="C57" t="str">
        <x:v>M4</x:v>
      </x:c>
      <x:c r="D57" t="str">
        <x:v>DATA</x:v>
      </x:c>
      <x:c r="E57" t="str">
        <x:v>CST-04</x:v>
      </x:c>
      <x:c r="F57" s="9" t="str">
        <x:v>GridFS and purge integrity audit</x:v>
      </x:c>
      <x:c r="G57" t="n">
        <x:v>8</x:v>
      </x:c>
      <x:c r="H57" t="str">
        <x:v>T033,T048</x:v>
      </x:c>
      <x:c r="I57" t="str">
        <x:v>P0</x:v>
      </x:c>
      <x:c r="J57" s="9" t="str">
        <x:v>No orphan known at release checkpoint</x:v>
      </x:c>
      <x:c r="K57" t="str">
        <x:v>Not Started</x:v>
      </x:c>
    </x:row>
    <x:row r="58" ht="26" customHeight="1">
      <x:c r="A58" t="str">
        <x:v>T057</x:v>
      </x:c>
      <x:c r="B58" t="n">
        <x:v>7</x:v>
      </x:c>
      <x:c r="C58" t="str">
        <x:v>M5</x:v>
      </x:c>
      <x:c r="D58" t="str">
        <x:v>QA</x:v>
      </x:c>
      <x:c r="E58" t="str">
        <x:v>RTM</x:v>
      </x:c>
      <x:c r="F58" s="9" t="str">
        <x:v>Release candidate smoke and defect audit</x:v>
      </x:c>
      <x:c r="G58" t="n">
        <x:v>9</x:v>
      </x:c>
      <x:c r="H58" t="str">
        <x:v>T048</x:v>
      </x:c>
      <x:c r="I58" t="str">
        <x:v>P0</x:v>
      </x:c>
      <x:c r="J58" s="9" t="str">
        <x:v>RC report available</x:v>
      </x:c>
      <x:c r="K58" t="str">
        <x:v>Not Started</x:v>
      </x:c>
    </x:row>
    <x:row r="59" ht="26" customHeight="1">
      <x:c r="A59" t="str">
        <x:v>T058</x:v>
      </x:c>
      <x:c r="B59" t="n">
        <x:v>7</x:v>
      </x:c>
      <x:c r="C59" t="str">
        <x:v>M1</x:v>
      </x:c>
      <x:c r="D59" t="str">
        <x:v>PM</x:v>
      </x:c>
      <x:c r="E59" t="str">
        <x:v>PM</x:v>
      </x:c>
      <x:c r="F59" s="9" t="str">
        <x:v>UAT dry run and acceptance evidence check</x:v>
      </x:c>
      <x:c r="G59" t="n">
        <x:v>7</x:v>
      </x:c>
      <x:c r="H59" t="str">
        <x:v>T044,T048</x:v>
      </x:c>
      <x:c r="I59" t="str">
        <x:v>P0</x:v>
      </x:c>
      <x:c r="J59" s="9" t="str">
        <x:v>Demo ready</x:v>
      </x:c>
      <x:c r="K59" t="str">
        <x:v>Not Started</x:v>
      </x:c>
    </x:row>
  </x:sheetData>
  <x:dataValidations count="2">
    <x:dataValidation type="list" sqref="K2:K59">
      <x:formula1>"Not Started,In Progress,In Review,Blocked,Done"</x:formula1>
    </x:dataValidation>
    <x:dataValidation type="list" sqref="I2:I5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f7e01bbcf649f8"/>
  </x:tableParts>
</x:worksheet>
</file>